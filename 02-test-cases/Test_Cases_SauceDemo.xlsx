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s" sheetId="1" r:id="rId5"/>
    <sheet state="visible" name="Summary" sheetId="2" r:id="rId6"/>
    <sheet state="visible" name="How to use" sheetId="3" r:id="rId7"/>
  </sheets>
  <definedNames>
    <definedName hidden="1" localSheetId="0" name="_xlnm._FilterDatabase">'Test Cases'!$A$1:$Q$23</definedName>
  </definedNames>
  <calcPr/>
</workbook>
</file>

<file path=xl/sharedStrings.xml><?xml version="1.0" encoding="utf-8"?>
<sst xmlns="http://schemas.openxmlformats.org/spreadsheetml/2006/main" count="377" uniqueCount="224">
  <si>
    <t>TC ID</t>
  </si>
  <si>
    <t>Section</t>
  </si>
  <si>
    <t>Title</t>
  </si>
  <si>
    <t>Priority</t>
  </si>
  <si>
    <t>Type</t>
  </si>
  <si>
    <t>Requirement</t>
  </si>
  <si>
    <t>Preconditions</t>
  </si>
  <si>
    <t>Test Data</t>
  </si>
  <si>
    <t>Steps</t>
  </si>
  <si>
    <t>Expected Result</t>
  </si>
  <si>
    <t>Actual Result</t>
  </si>
  <si>
    <t>Status – Chrome</t>
  </si>
  <si>
    <t>Status – Safari</t>
  </si>
  <si>
    <t>Bug ID</t>
  </si>
  <si>
    <t>Executed By</t>
  </si>
  <si>
    <t>Execution Date</t>
  </si>
  <si>
    <t>Notes</t>
  </si>
  <si>
    <t>TC-01</t>
  </si>
  <si>
    <t>Login</t>
  </si>
  <si>
    <t>Log in with valid credentials</t>
  </si>
  <si>
    <t>P1</t>
  </si>
  <si>
    <t>Smoke</t>
  </si>
  <si>
    <t>REQ-01</t>
  </si>
  <si>
    <t>On the login page, logged out</t>
  </si>
  <si>
    <t>standard_user / secret_sauce</t>
  </si>
  <si>
    <t>1. Go to https://www.saucedemo.com
2. Enter the username
3. Enter the password
4. Click Login</t>
  </si>
  <si>
    <t>Products page opens (URL ends in /inventory.html), the header shows "Products", and 6 products are listed.</t>
  </si>
  <si>
    <t>Products page opens (URL: /inventory.html). Header shows “Products” and 6 products are listed.</t>
  </si>
  <si>
    <t>Pass</t>
  </si>
  <si>
    <t>Yasmin Sosa</t>
  </si>
  <si>
    <t>TC-02</t>
  </si>
  <si>
    <t>Log in with both fields empty</t>
  </si>
  <si>
    <t>P2</t>
  </si>
  <si>
    <t>Negative</t>
  </si>
  <si>
    <t>REQ-02</t>
  </si>
  <si>
    <t>Username: (empty) / Password: (empty)</t>
  </si>
  <si>
    <t>1. Leave both fields empty
2. Click Login</t>
  </si>
  <si>
    <t>Error banner shows "Epic sadface: Username is required". Both fields are highlighted in red with an × icon. User stays on the login page.</t>
  </si>
  <si>
    <t>Error “Epic sadface: Username is required” is displayed. Both fields are highlighted in red. User stays on the login page.</t>
  </si>
  <si>
    <t>TC-03</t>
  </si>
  <si>
    <t>Log in with valid username and empty password</t>
  </si>
  <si>
    <t>standard_user / (empty)</t>
  </si>
  <si>
    <t>1. Enter the username
2. Leave the password empty
3. Click Login</t>
  </si>
  <si>
    <t>Error banner shows "Epic sadface: Password is required". User stays on the login page.</t>
  </si>
  <si>
    <t>Error “Epic sadface: Password is required” is displayed. User stays on the login page.</t>
  </si>
  <si>
    <t>TC-04</t>
  </si>
  <si>
    <t>Log in with wrong password shows a readable error</t>
  </si>
  <si>
    <t>Negative / UI</t>
  </si>
  <si>
    <t>standard_user / abc123</t>
  </si>
  <si>
    <t>1. Enter the username
2. Enter the wrong password
3. Click Login
4. Read the full error message</t>
  </si>
  <si>
    <t>The full message "Epic sadface: Username and password do not match any user in this service" is displayed and fully readable inside the error banner. User stays on the login page.</t>
  </si>
  <si>
    <t>Error text “Epic sadface: Username and password do not match any user in this service” is cut off at the top and bottom of the banner and is not fully readable.</t>
  </si>
  <si>
    <t>Fail</t>
  </si>
  <si>
    <t>BUG-001</t>
  </si>
  <si>
    <t>TC-05</t>
  </si>
  <si>
    <t>Locked-out user cannot log in</t>
  </si>
  <si>
    <t>REQ-03</t>
  </si>
  <si>
    <t>locked_out_user / secret_sauce</t>
  </si>
  <si>
    <t>1. Enter the username
2. Enter the password
3. Click Login</t>
  </si>
  <si>
    <t>Error banner shows "Epic sadface: Sorry, this user has been locked out." The Products page is not accessible.</t>
  </si>
  <si>
    <t>Error “Epic sadface: Sorry, this user has been locked out.” is displayed. Access to the Products page is blocked.</t>
  </si>
  <si>
    <t>TC-06</t>
  </si>
  <si>
    <t>Catalog</t>
  </si>
  <si>
    <t>Sort products by Name (A to Z)</t>
  </si>
  <si>
    <t>Functional</t>
  </si>
  <si>
    <t>REQ-04</t>
  </si>
  <si>
    <t>Logged in as standard_user on the Products page, cart empty</t>
  </si>
  <si>
    <t>Sort option: Name (A to Z)</t>
  </si>
  <si>
    <t>1. Check the default sort option
2. Select "Name (A to Z)"
3. Read the product order</t>
  </si>
  <si>
    <t>"Name (A to Z)" is the default. Order: Sauce Labs Backpack, Sauce Labs Bike Light, Sauce Labs Bolt T-Shirt, Sauce Labs Fleece Jacket, Sauce Labs Onesie, Test.allTheThings() T-Shirt (Red).</t>
  </si>
  <si>
    <t>“Name (A to Z)” is selected by default. Products are listed from Sauce Labs Backpack to Test.allTheThings() T-Shirt (Red) in alphabetical order.</t>
  </si>
  <si>
    <t>Found during execution: clicking the dropdown arrow (▼) does not open the sort menu, although the cursor changes to a pointer. Clicking the text opens it. See BUG-004</t>
  </si>
  <si>
    <t>TC-07</t>
  </si>
  <si>
    <t>Sort products by Name (Z to A)</t>
  </si>
  <si>
    <t>P3</t>
  </si>
  <si>
    <t>Sort option: Name (Z to A)</t>
  </si>
  <si>
    <t>1. Select "Name (Z to A)"
2. Read the product order</t>
  </si>
  <si>
    <t>Order: Test.allTheThings() T-Shirt (Red), Sauce Labs Onesie, Sauce Labs Fleece Jacket, Sauce Labs Bolt T-Shirt, Sauce Labs Bike Light, Sauce Labs Backpack.</t>
  </si>
  <si>
    <t>Products are listed from Test.allTheThings() T-Shirt (Red) to Sauce Labs Backpack in reverse alphabetical order.</t>
  </si>
  <si>
    <t>TC-08</t>
  </si>
  <si>
    <t>Sort products by Price (low to high), including same-price items</t>
  </si>
  <si>
    <t>Sort option: Price (low to high)</t>
  </si>
  <si>
    <t>1. Select "Price (low to high)"
2. Read the prices in order</t>
  </si>
  <si>
    <t>Prices in ascending order: $7.99, $9.99, $15.99, $15.99, $29.99, $49.99. Both $15.99 products appear between $9.99 and $29.99.</t>
  </si>
  <si>
    <t>Prices display in ascending order: $7.99, $9.99, $15.99, $15.99, $29.99, $49.99. The two $15.99 items (Sauce Labs Bolt T-Shirt and Test.allTheThings() T-Shirt (Red)) appear together in the correct position.</t>
  </si>
  <si>
    <t>Same-price items ($15.99): Sauce Labs Bolt T-Shirt appears before Test.allTheThings() T-Shirt (Red). Ties are ordered alphabetically by name. Not a defect.</t>
  </si>
  <si>
    <t>TC-09</t>
  </si>
  <si>
    <t>Sort products by Price (high to low)</t>
  </si>
  <si>
    <t>Sort option: Price (high to low)</t>
  </si>
  <si>
    <t>1. Select "Price (high to low)"
2. Read the prices in order</t>
  </si>
  <si>
    <t>Prices in descending order: $49.99, $29.99, $15.99, $15.99, $9.99, $7.99.</t>
  </si>
  <si>
    <t>Prices display in descending order: $49.99, $29.99, $15.99, $15.99, $9.99, $7.99.</t>
  </si>
  <si>
    <t>Same-price items keep the same order as in TC-08 (Bolt T-Shirt first), which confirms a secondary sort by name (A–Z). Not a defect.</t>
  </si>
  <si>
    <t>TC-10</t>
  </si>
  <si>
    <t>Product details</t>
  </si>
  <si>
    <t>Open product details and add to cart from the details page</t>
  </si>
  <si>
    <t>REQ-05</t>
  </si>
  <si>
    <t>Product: Sauce Labs Backpack</t>
  </si>
  <si>
    <t>1. Click the product name "Sauce Labs Backpack"
2. Review the details page
3. Click Add to cart
4. Click Back to products</t>
  </si>
  <si>
    <t>Details page shows the name, description, price $29.99, and image. After Add to cart, the button changes to "Remove" and the cart badge shows 1. Back on Products, the Backpack button shows "Remove".</t>
  </si>
  <si>
    <t>Details page shows name, description, $29.99, and image. After Add to cart, the button shows “Remove” and the badge shows 1, also on the Products page.</t>
  </si>
  <si>
    <t>TC-11</t>
  </si>
  <si>
    <t>Cart</t>
  </si>
  <si>
    <t>Add a product updates the cart badge and button</t>
  </si>
  <si>
    <t>REQ-06</t>
  </si>
  <si>
    <t>Products: Sauce Labs Bike Light, Sauce Labs Backpack</t>
  </si>
  <si>
    <t>1. Click Add to cart on Sauce Labs Bike Light
2. Click Add to cart on Sauce Labs Backpack</t>
  </si>
  <si>
    <t>After step 1: the Bike Light button shows "Remove" and the cart badge shows 1. After step 2: the Backpack button shows "Remove" and the badge shows 2.</t>
  </si>
  <si>
    <t>Badge shows 1 after adding Bike Light and 2 after adding Backpack. Both buttons change to “Remove”.</t>
  </si>
  <si>
    <t>TC-12</t>
  </si>
  <si>
    <t>Remove a product from the catalog and from the cart page</t>
  </si>
  <si>
    <t>Logged in as standard_user; Backpack and Bike Light in the cart (badge 2)</t>
  </si>
  <si>
    <t>1. On Products, click Remove on Sauce Labs Bike Light
2. Open the cart
3. Click Remove on Sauce Labs Backpack</t>
  </si>
  <si>
    <t>After step 1: the button returns to "Add to cart" and the badge shows 1. After step 3: the cart page is empty and the badge disappears.</t>
  </si>
  <si>
    <t>Badge drops to 1 after removing Bike Light. After removing Backpack from the cart page, the cart is empty and the badge disappears.</t>
  </si>
  <si>
    <t>TC-13</t>
  </si>
  <si>
    <t>Cart contents are kept when navigating between pages</t>
  </si>
  <si>
    <t>Products: Sauce Labs Backpack, Sauce Labs Bike Light</t>
  </si>
  <si>
    <t>1. Open the cart
2. Click Continue Shopping
3. Open a product details page and click Back to products
4. Refresh the page (Cmd + R)
5. Open the cart</t>
  </si>
  <si>
    <t>The badge shows 2 after every step, and the cart still lists both products after the refresh.</t>
  </si>
  <si>
    <t>Badge stays at 2 across the cart, product details, Products page, and after refresh. Cart lists both products.</t>
  </si>
  <si>
    <t>TC-14</t>
  </si>
  <si>
    <t>Checkout</t>
  </si>
  <si>
    <t>Checkout shows an error for each missing required field</t>
  </si>
  <si>
    <t>REQ-07</t>
  </si>
  <si>
    <t>Logged in as standard_user; 1 product in the cart; on Checkout: Your Information</t>
  </si>
  <si>
    <t>First Name: Test · Last Name: User · Postal Code: 78701</t>
  </si>
  <si>
    <t>1. Click Continue with all fields empty
2. Enter First Name and click Continue
3. Enter Last Name and click Continue
4. Enter Postal Code and click Continue</t>
  </si>
  <si>
    <t>Step 1: "Error: First Name is required". Step 2: "Error: Last Name is required". Step 3: "Error: Postal Code is required". Step 4: the Checkout: Overview page opens.</t>
  </si>
  <si>
    <t>Errors display in order: “First Name is required”, “Last Name is required”, “Postal Code is required”. Overview opens once all fields are filled.</t>
  </si>
  <si>
    <t>TC-15</t>
  </si>
  <si>
    <t>Order overview shows the correct item total, 8% tax, and total</t>
  </si>
  <si>
    <t>REQ-08</t>
  </si>
  <si>
    <t>Logged in as standard_user; Backpack and Fleece Jacket in the cart</t>
  </si>
  <si>
    <t>1. Open the cart and click Checkout
2. Enter the test data and click Continue
3. Read Item total, Tax, and Total
4. Calculate the tax manually (item total × 0.08)</t>
  </si>
  <si>
    <t>Item total: $79.98 · Tax: $6.40 · Total: $86.38. Manual check: $79.98 × 0.08 = $6.398, rounded to $6.40; $79.98 + $6.40 = $86.38.</t>
  </si>
  <si>
    <t>Item total $79.98, Tax $6.40, Total $86.38. Manual check matches: $79.98 × 8% = $6.40.</t>
  </si>
  <si>
    <t>TC-16</t>
  </si>
  <si>
    <t>Cancel on the overview keeps items in the cart</t>
  </si>
  <si>
    <t>REQ-09</t>
  </si>
  <si>
    <t>On Checkout: Overview with Backpack and Fleece Jacket</t>
  </si>
  <si>
    <t>—</t>
  </si>
  <si>
    <t>1. Open the cart and click Checkout
2. Enter First Name, Last Name, and Postal Code, then click Continue
3. On the Checkout: Overview page, click Cancel
4. Check the cart badge
5. Open the cart</t>
  </si>
  <si>
    <t>After Cancel on the Overview page, the Products page opens. The badge still shows 2, and the cart lists both products.</t>
  </si>
  <si>
    <t>Cancel returns to the Products page. Badge still shows 2 and the cart lists both products.</t>
  </si>
  <si>
    <t>TC-22</t>
  </si>
  <si>
    <t>Cancel on Checkout: Your Information returns to the cart and keeps items</t>
  </si>
  <si>
    <t>— (no data entered)</t>
  </si>
  <si>
    <t>1. Open the cart and click Checkout 2. Leave First Name, Last Name, and Postal Code empty 3. Click Cancel 4. Check the cart badge and the cart contents</t>
  </si>
  <si>
    <t>The Your Cart page opens. The badge still shows 2, and the cart lists both products. No validation errors appear.</t>
  </si>
  <si>
    <t>Cancel on Checkout: Your Information returns to the Your Cart page with both products listed. Badge still shows 2. No validation errors appear.</t>
  </si>
  <si>
    <t>Added during execution to cover the Cancel button on step 1 of checkout. TC-16 covers Cancel on step 2 (Overview).</t>
  </si>
  <si>
    <t>TC-17</t>
  </si>
  <si>
    <t>Complete an order shows a confirmation and empties the cart</t>
  </si>
  <si>
    <t>1. Click Finish
2. Read the confirmation page
3. Check the cart badge
4. Click Back Home</t>
  </si>
  <si>
    <t>Confirmation shows "Thank you for your order!" and "Your order has been dispatched, and will arrive just as fast as the pony can get there!". The badge is cleared. Back Home opens Products with all buttons showing "Add to cart".</t>
  </si>
  <si>
    <t>Confirmation shows "Thank you for your order!" and the dispatch message. Badge is cleared. Back Home opens Products with all buttons showing "Add to cart".</t>
  </si>
  <si>
    <t>TC-18</t>
  </si>
  <si>
    <t>Generate PDF order downloads the order details</t>
  </si>
  <si>
    <t>On the order confirmation page</t>
  </si>
  <si>
    <t>1. Click Generate PDF order
2. Open the downloaded PDF</t>
  </si>
  <si>
    <t>A PDF downloads and shows the order details. The items and amounts match the order overview.</t>
  </si>
  <si>
    <t>PDF downloads. Items and amounts in the PDF match the order overview.</t>
  </si>
  <si>
    <t>TC-19</t>
  </si>
  <si>
    <t>Menu</t>
  </si>
  <si>
    <t>Logout ends the session and blocks access to the products page</t>
  </si>
  <si>
    <t>REQ-10</t>
  </si>
  <si>
    <t>URL: https://www.saucedemo.com/inventory.html</t>
  </si>
  <si>
    <t>1. Open the menu (☰) and click Logout
2. Click the browser Back button
3. Enter the inventory URL directly in the address bar</t>
  </si>
  <si>
    <t>Step 1: the login page opens. Steps 2 and 3: the Products page is not shown; the user stays on (or is sent back to) the login page with an error message.</t>
  </si>
  <si>
    <t>Logout opens the login page. Back button and direct URL both stay on the login page with the error "Epic sadface: You can only access '/inventory.html' when you are logged in". Products are not shown.</t>
  </si>
  <si>
    <t>Access is correctly blocked. The error text is cut off in the banner (same root cause as BUG-001); added as a second occurrence in BUG-001.</t>
  </si>
  <si>
    <t>TC-20</t>
  </si>
  <si>
    <t>Reset App State clears the cart and resets product buttons</t>
  </si>
  <si>
    <t>1. Open the menu (☰) and click Reset App State
2. Check the cart badge
3. Check the product buttons
4. Open the cart</t>
  </si>
  <si>
    <t>The badge disappears, the cart is empty, and the Backpack and Bike Light buttons change back to "Add to cart" without a page refresh.</t>
  </si>
  <si>
    <t>Badge disappears and the cart is empty, but the Backpack and Bike Light buttons still show “Remove” until the page is refreshed.</t>
  </si>
  <si>
    <t>BUG-002</t>
  </si>
  <si>
    <t>TC-21</t>
  </si>
  <si>
    <t>Lazy Load catalog shows each product variant once</t>
  </si>
  <si>
    <t>REQ-11</t>
  </si>
  <si>
    <t>Logged in as standard_user</t>
  </si>
  <si>
    <t>1. Open the menu (☰) → Dynamic Catalog → Lazy Load
2. Scroll down slowly until more products load
3. Compare product names and sizes</t>
  </si>
  <si>
    <t>Each product variant (name and size) appears only once. (Expected behavior assumed; pending Product confirmation.)</t>
  </si>
  <si>
    <t>The list repeats the same sequence of products in the same order (Bike Light, Bolt T-Shirt (XS), Onesie…) after more items load.</t>
  </si>
  <si>
    <t>BUG-003</t>
  </si>
  <si>
    <t>Test Execution Summary — SauceDemo</t>
  </si>
  <si>
    <t>All values are calculated from the Test Cases sheet.</t>
  </si>
  <si>
    <t>Planned test cases</t>
  </si>
  <si>
    <t>Executed (Chrome)</t>
  </si>
  <si>
    <t>Passed (Chrome)</t>
  </si>
  <si>
    <t>Failed (Chrome)</t>
  </si>
  <si>
    <t>Blocked (Chrome)</t>
  </si>
  <si>
    <t>Execution progress</t>
  </si>
  <si>
    <t>Executed ÷ planned</t>
  </si>
  <si>
    <t>Pass rate</t>
  </si>
  <si>
    <t>Passed ÷ executed</t>
  </si>
  <si>
    <t>P1 test cases</t>
  </si>
  <si>
    <t>P1 passed (Chrome)</t>
  </si>
  <si>
    <t>Exit criterion: must equal P1 test cases</t>
  </si>
  <si>
    <t>P1 passed (Safari)</t>
  </si>
  <si>
    <t>Requirements in scope</t>
  </si>
  <si>
    <t>REQ-01 to REQ-11, from the Test Plan (Section 4)</t>
  </si>
  <si>
    <t>Requirements covered by test cases</t>
  </si>
  <si>
    <t>Every requirement is mapped to at least one test case (Test Plan, Section 4)</t>
  </si>
  <si>
    <t>Requirement coverage</t>
  </si>
  <si>
    <t>Covered ÷ in scope</t>
  </si>
  <si>
    <t>How to use this workbook</t>
  </si>
  <si>
    <t>Pre-filled (do not edit)</t>
  </si>
  <si>
    <t>TC ID to Expected Result: written from the Test Plan (TP-SD-001) and the exploratory session.</t>
  </si>
  <si>
    <t>Fill in (yellow cells)</t>
  </si>
  <si>
    <t>Actual Result, Status – Chrome, Status – Safari, Bug ID, Executed By, Execution Date, Notes.</t>
  </si>
  <si>
    <t>Status values</t>
  </si>
  <si>
    <t>Not Run · Pass · Fail · Blocked · N/A (choose from the dropdown). Safari is required for P1 test cases only.</t>
  </si>
  <si>
    <t>Write what actually happened. For a Pass, a short line is enough (e.g., "As expected").</t>
  </si>
  <si>
    <t>Only for failed test cases. Use the existing ID (BUG-001…) or the next free ID for a new defect.</t>
  </si>
  <si>
    <t>Summary sheet</t>
  </si>
  <si>
    <t>Counts, pass rate, and coverage update automatically.</t>
  </si>
  <si>
    <t>Example row (format only)</t>
  </si>
  <si>
    <t>Error banner shows the expected message, but the first and last lines are cut off and not fully readable.</t>
  </si>
  <si>
    <t>Status – Chrome / Safari</t>
  </si>
  <si>
    <t>Fail / Fail</t>
  </si>
  <si>
    <t>Executed By / Date</t>
  </si>
  <si>
    <t>Yasmin Sosa / 2026-10-25</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</si>
</sst>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10">
    <font>
      <sz val="11.0"/>
      <color theme="1"/>
      <name val="Calibri"/>
      <scheme val="minor"/>
    </font>
    <font>
      <b/>
      <sz val="10.0"/>
      <color rgb="FFFFFFFF"/>
      <name val="Arial"/>
    </font>
    <font>
      <b/>
      <sz val="10.0"/>
      <color theme="1"/>
      <name val="Arial"/>
    </font>
    <font>
      <sz val="10.0"/>
      <color theme="1"/>
      <name val="Arial"/>
    </font>
    <font>
      <b/>
      <sz val="14.0"/>
      <color theme="1"/>
      <name val="Arial"/>
    </font>
    <font>
      <i/>
      <sz val="9.0"/>
      <color rgb="FF666666"/>
      <name val="Arial"/>
    </font>
    <font>
      <sz val="10.0"/>
      <color rgb="FF000000"/>
      <name val="Arial"/>
    </font>
    <font>
      <sz val="9.0"/>
      <color rgb="FF666666"/>
      <name val="Arial"/>
    </font>
    <font>
      <sz val="10.0"/>
      <color rgb="FF0000FF"/>
      <name val="Arial"/>
    </font>
    <font>
      <b/>
      <sz val="13.0"/>
      <color theme="1"/>
      <name val="Arial"/>
    </font>
  </fonts>
  <fills count="4">
    <fill>
      <patternFill patternType="none"/>
    </fill>
    <fill>
      <patternFill patternType="lightGray"/>
    </fill>
    <fill>
      <patternFill patternType="solid">
        <fgColor rgb="FF1F4E78"/>
        <bgColor rgb="FF1F4E78"/>
      </patternFill>
    </fill>
    <fill>
      <patternFill patternType="solid">
        <fgColor rgb="FFFFF2CC"/>
        <bgColor rgb="FFFFF2CC"/>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0" fontId="2" numFmtId="0" xfId="0" applyAlignment="1" applyBorder="1" applyFont="1">
      <alignment shrinkToFit="0" vertical="top" wrapText="1"/>
    </xf>
    <xf borderId="1" fillId="0" fontId="3" numFmtId="0" xfId="0" applyAlignment="1" applyBorder="1" applyFont="1">
      <alignment shrinkToFit="0" vertical="top" wrapText="1"/>
    </xf>
    <xf borderId="1" fillId="3" fontId="3" numFmtId="0" xfId="0" applyAlignment="1" applyBorder="1" applyFill="1" applyFont="1">
      <alignment shrinkToFit="0" vertical="top" wrapText="1"/>
    </xf>
    <xf borderId="1" fillId="3" fontId="3" numFmtId="0" xfId="0" applyAlignment="1" applyBorder="1" applyFill="1" applyFont="1">
      <alignment readingOrder="0" shrinkToFit="0" vertical="top" wrapText="1"/>
    </xf>
    <xf borderId="1" fillId="3" fontId="3" numFmtId="164" xfId="0" applyAlignment="1" applyBorder="1" applyFill="1" applyFont="1" applyNumberFormat="1">
      <alignment readingOrder="0" shrinkToFit="0" vertical="top" wrapText="1"/>
    </xf>
    <xf borderId="1" fillId="0" fontId="3" numFmtId="0" xfId="0" applyAlignment="1" applyBorder="1" applyFont="1">
      <alignment readingOrder="0" shrinkToFit="0" vertical="top" wrapText="1"/>
    </xf>
    <xf borderId="1" fillId="0" fontId="2" numFmtId="0" xfId="0" applyAlignment="1" applyBorder="1" applyFont="1">
      <alignment readingOrder="0" shrinkToFit="0" vertical="top" wrapText="1"/>
    </xf>
    <xf borderId="0" fillId="0" fontId="4" numFmtId="0" xfId="0" applyAlignment="1" applyFont="1">
      <alignment shrinkToFit="0" vertical="bottom" wrapText="0"/>
    </xf>
    <xf borderId="0" fillId="0" fontId="5" numFmtId="0" xfId="0" applyAlignment="1" applyFont="1">
      <alignment shrinkToFit="0" vertical="bottom" wrapText="0"/>
    </xf>
    <xf borderId="1" fillId="0" fontId="2" numFmtId="0" xfId="0" applyAlignment="1" applyBorder="1" applyFont="1">
      <alignment shrinkToFit="0" vertical="bottom" wrapText="0"/>
    </xf>
    <xf borderId="1" fillId="0" fontId="6" numFmtId="0" xfId="0" applyAlignment="1" applyBorder="1" applyFont="1">
      <alignment horizontal="right" shrinkToFit="0" vertical="bottom" wrapText="0"/>
    </xf>
    <xf borderId="1" fillId="0" fontId="7" numFmtId="0" xfId="0" applyAlignment="1" applyBorder="1" applyFont="1">
      <alignment shrinkToFit="0" vertical="bottom" wrapText="0"/>
    </xf>
    <xf borderId="1" fillId="0" fontId="6" numFmtId="9" xfId="0" applyAlignment="1" applyBorder="1" applyFont="1" applyNumberFormat="1">
      <alignment horizontal="right" shrinkToFit="0" vertical="bottom" wrapText="0"/>
    </xf>
    <xf borderId="1" fillId="0" fontId="8" numFmtId="0" xfId="0" applyAlignment="1" applyBorder="1" applyFont="1">
      <alignment horizontal="right" shrinkToFit="0" vertical="bottom" wrapText="0"/>
    </xf>
    <xf borderId="0" fillId="0" fontId="9" numFmtId="0" xfId="0" applyAlignment="1" applyFont="1">
      <alignment shrinkToFit="0" vertical="top" wrapText="0"/>
    </xf>
    <xf borderId="0" fillId="0" fontId="3" numFmtId="0" xfId="0" applyAlignment="1" applyFont="1">
      <alignment shrinkToFit="0" vertical="top" wrapText="1"/>
    </xf>
    <xf borderId="0" fillId="0" fontId="2" numFmtId="0" xfId="0" applyAlignment="1" applyFont="1">
      <alignment shrinkToFit="0" vertical="top" wrapText="0"/>
    </xf>
    <xf borderId="0" fillId="0" fontId="3" numFmtId="0" xfId="0" applyAlignment="1" applyFont="1">
      <alignment shrinkToFit="0" vertical="top" wrapText="0"/>
    </xf>
  </cellXfs>
  <cellStyles count="1">
    <cellStyle xfId="0" name="Normal" builtinId="0"/>
  </cellStyles>
  <dxfs count="3">
    <dxf>
      <font>
        <color rgb="FF006100"/>
        <name val="Arial"/>
      </font>
      <fill>
        <patternFill patternType="solid">
          <fgColor rgb="FFC6EFCE"/>
          <bgColor rgb="FFC6EFCE"/>
        </patternFill>
      </fill>
      <border/>
    </dxf>
    <dxf>
      <font>
        <color rgb="FF9C0006"/>
        <name val="Arial"/>
      </font>
      <fill>
        <patternFill patternType="solid">
          <fgColor rgb="FFFFC7CE"/>
          <bgColor rgb="FFFFC7CE"/>
        </patternFill>
      </fill>
      <border/>
    </dxf>
    <dxf>
      <font>
        <color rgb="FF9C5700"/>
        <name val="Arial"/>
      </font>
      <fill>
        <patternFill patternType="solid">
          <fgColor rgb="FFFFEB9C"/>
          <bgColor rgb="FFFFEB9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8.0"/>
    <col customWidth="1" min="2" max="2" width="13.0"/>
    <col customWidth="1" min="3" max="3" width="34.0"/>
    <col customWidth="1" min="4" max="4" width="8.0"/>
    <col customWidth="1" min="5" max="5" width="12.0"/>
    <col customWidth="1" min="6" max="6" width="11.0"/>
    <col customWidth="1" min="7" max="7" width="30.0"/>
    <col customWidth="1" min="8" max="8" width="28.0"/>
    <col customWidth="1" min="9" max="9" width="46.0"/>
    <col customWidth="1" min="10" max="10" width="52.0"/>
    <col customWidth="1" min="11" max="11" width="40.0"/>
    <col customWidth="1" min="12" max="13" width="13.0"/>
    <col customWidth="1" min="14" max="14" width="10.0"/>
    <col customWidth="1" min="15" max="16" width="13.0"/>
    <col customWidth="1" min="17" max="17" width="28.0"/>
    <col customWidth="1" min="18" max="26" width="8.71"/>
  </cols>
  <sheetData>
    <row r="1" ht="31.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ht="79.5" customHeight="1">
      <c r="A2" s="2" t="s">
        <v>17</v>
      </c>
      <c r="B2" s="3" t="s">
        <v>18</v>
      </c>
      <c r="C2" s="3" t="s">
        <v>19</v>
      </c>
      <c r="D2" s="3" t="s">
        <v>20</v>
      </c>
      <c r="E2" s="3" t="s">
        <v>21</v>
      </c>
      <c r="F2" s="3" t="s">
        <v>22</v>
      </c>
      <c r="G2" s="3" t="s">
        <v>23</v>
      </c>
      <c r="H2" s="3" t="s">
        <v>24</v>
      </c>
      <c r="I2" s="3" t="s">
        <v>25</v>
      </c>
      <c r="J2" s="3" t="s">
        <v>26</v>
      </c>
      <c r="K2" s="4" t="s">
        <v>27</v>
      </c>
      <c r="L2" s="5" t="s">
        <v>28</v>
      </c>
      <c r="M2" s="5" t="s">
        <v>28</v>
      </c>
      <c r="N2" s="4"/>
      <c r="O2" s="5" t="s">
        <v>29</v>
      </c>
      <c r="P2" s="6">
        <v>46320.0</v>
      </c>
      <c r="Q2" s="4"/>
    </row>
    <row r="3" ht="75.0" customHeight="1">
      <c r="A3" s="2" t="s">
        <v>30</v>
      </c>
      <c r="B3" s="3" t="s">
        <v>18</v>
      </c>
      <c r="C3" s="3" t="s">
        <v>31</v>
      </c>
      <c r="D3" s="3" t="s">
        <v>32</v>
      </c>
      <c r="E3" s="3" t="s">
        <v>33</v>
      </c>
      <c r="F3" s="3" t="s">
        <v>34</v>
      </c>
      <c r="G3" s="3" t="s">
        <v>23</v>
      </c>
      <c r="H3" s="3" t="s">
        <v>35</v>
      </c>
      <c r="I3" s="3" t="s">
        <v>36</v>
      </c>
      <c r="J3" s="3" t="s">
        <v>37</v>
      </c>
      <c r="K3" s="5" t="s">
        <v>38</v>
      </c>
      <c r="L3" s="5" t="s">
        <v>28</v>
      </c>
      <c r="M3" s="5" t="s">
        <v>28</v>
      </c>
      <c r="N3" s="4"/>
      <c r="O3" s="5" t="s">
        <v>29</v>
      </c>
      <c r="P3" s="6">
        <v>46320.0</v>
      </c>
      <c r="Q3" s="4"/>
    </row>
    <row r="4" ht="75.0" customHeight="1">
      <c r="A4" s="2" t="s">
        <v>39</v>
      </c>
      <c r="B4" s="3" t="s">
        <v>18</v>
      </c>
      <c r="C4" s="3" t="s">
        <v>40</v>
      </c>
      <c r="D4" s="3" t="s">
        <v>32</v>
      </c>
      <c r="E4" s="3" t="s">
        <v>33</v>
      </c>
      <c r="F4" s="3" t="s">
        <v>34</v>
      </c>
      <c r="G4" s="3" t="s">
        <v>23</v>
      </c>
      <c r="H4" s="3" t="s">
        <v>41</v>
      </c>
      <c r="I4" s="3" t="s">
        <v>42</v>
      </c>
      <c r="J4" s="3" t="s">
        <v>43</v>
      </c>
      <c r="K4" s="5" t="s">
        <v>44</v>
      </c>
      <c r="L4" s="5" t="s">
        <v>28</v>
      </c>
      <c r="M4" s="5" t="s">
        <v>28</v>
      </c>
      <c r="N4" s="4"/>
      <c r="O4" s="5" t="s">
        <v>29</v>
      </c>
      <c r="P4" s="6">
        <v>46320.0</v>
      </c>
      <c r="Q4" s="4"/>
    </row>
    <row r="5" ht="79.5" customHeight="1">
      <c r="A5" s="2" t="s">
        <v>45</v>
      </c>
      <c r="B5" s="3" t="s">
        <v>18</v>
      </c>
      <c r="C5" s="3" t="s">
        <v>46</v>
      </c>
      <c r="D5" s="3" t="s">
        <v>32</v>
      </c>
      <c r="E5" s="3" t="s">
        <v>47</v>
      </c>
      <c r="F5" s="3" t="s">
        <v>34</v>
      </c>
      <c r="G5" s="3" t="s">
        <v>23</v>
      </c>
      <c r="H5" s="3" t="s">
        <v>48</v>
      </c>
      <c r="I5" s="3" t="s">
        <v>49</v>
      </c>
      <c r="J5" s="3" t="s">
        <v>50</v>
      </c>
      <c r="K5" s="5" t="s">
        <v>51</v>
      </c>
      <c r="L5" s="5" t="s">
        <v>52</v>
      </c>
      <c r="M5" s="5" t="s">
        <v>52</v>
      </c>
      <c r="N5" s="5" t="s">
        <v>53</v>
      </c>
      <c r="O5" s="5" t="s">
        <v>29</v>
      </c>
      <c r="P5" s="6">
        <v>46320.0</v>
      </c>
      <c r="Q5" s="4"/>
    </row>
    <row r="6" ht="75.0" customHeight="1">
      <c r="A6" s="2" t="s">
        <v>54</v>
      </c>
      <c r="B6" s="3" t="s">
        <v>18</v>
      </c>
      <c r="C6" s="3" t="s">
        <v>55</v>
      </c>
      <c r="D6" s="3" t="s">
        <v>20</v>
      </c>
      <c r="E6" s="3" t="s">
        <v>33</v>
      </c>
      <c r="F6" s="3" t="s">
        <v>56</v>
      </c>
      <c r="G6" s="3" t="s">
        <v>23</v>
      </c>
      <c r="H6" s="3" t="s">
        <v>57</v>
      </c>
      <c r="I6" s="3" t="s">
        <v>58</v>
      </c>
      <c r="J6" s="3" t="s">
        <v>59</v>
      </c>
      <c r="K6" s="5" t="s">
        <v>60</v>
      </c>
      <c r="L6" s="5" t="s">
        <v>28</v>
      </c>
      <c r="M6" s="5" t="s">
        <v>28</v>
      </c>
      <c r="N6" s="4"/>
      <c r="O6" s="5" t="s">
        <v>29</v>
      </c>
      <c r="P6" s="6">
        <v>46320.0</v>
      </c>
      <c r="Q6" s="4"/>
    </row>
    <row r="7" ht="75.0" customHeight="1">
      <c r="A7" s="2" t="s">
        <v>61</v>
      </c>
      <c r="B7" s="3" t="s">
        <v>62</v>
      </c>
      <c r="C7" s="3" t="s">
        <v>63</v>
      </c>
      <c r="D7" s="3" t="s">
        <v>32</v>
      </c>
      <c r="E7" s="3" t="s">
        <v>64</v>
      </c>
      <c r="F7" s="3" t="s">
        <v>65</v>
      </c>
      <c r="G7" s="3" t="s">
        <v>66</v>
      </c>
      <c r="H7" s="3" t="s">
        <v>67</v>
      </c>
      <c r="I7" s="3" t="s">
        <v>68</v>
      </c>
      <c r="J7" s="3" t="s">
        <v>69</v>
      </c>
      <c r="K7" s="5" t="s">
        <v>70</v>
      </c>
      <c r="L7" s="5" t="s">
        <v>28</v>
      </c>
      <c r="M7" s="5" t="s">
        <v>28</v>
      </c>
      <c r="N7" s="4"/>
      <c r="O7" s="5" t="s">
        <v>29</v>
      </c>
      <c r="P7" s="6">
        <v>46320.0</v>
      </c>
      <c r="Q7" s="5" t="s">
        <v>71</v>
      </c>
    </row>
    <row r="8" ht="75.0" customHeight="1">
      <c r="A8" s="2" t="s">
        <v>72</v>
      </c>
      <c r="B8" s="3" t="s">
        <v>62</v>
      </c>
      <c r="C8" s="3" t="s">
        <v>73</v>
      </c>
      <c r="D8" s="3" t="s">
        <v>74</v>
      </c>
      <c r="E8" s="3" t="s">
        <v>64</v>
      </c>
      <c r="F8" s="3" t="s">
        <v>65</v>
      </c>
      <c r="G8" s="3" t="s">
        <v>66</v>
      </c>
      <c r="H8" s="3" t="s">
        <v>75</v>
      </c>
      <c r="I8" s="3" t="s">
        <v>76</v>
      </c>
      <c r="J8" s="3" t="s">
        <v>77</v>
      </c>
      <c r="K8" s="5" t="s">
        <v>78</v>
      </c>
      <c r="L8" s="5" t="s">
        <v>28</v>
      </c>
      <c r="M8" s="5" t="s">
        <v>28</v>
      </c>
      <c r="N8" s="4"/>
      <c r="O8" s="5" t="s">
        <v>29</v>
      </c>
      <c r="P8" s="6">
        <v>46320.0</v>
      </c>
      <c r="Q8" s="4"/>
    </row>
    <row r="9" ht="75.0" customHeight="1">
      <c r="A9" s="2" t="s">
        <v>79</v>
      </c>
      <c r="B9" s="3" t="s">
        <v>62</v>
      </c>
      <c r="C9" s="3" t="s">
        <v>80</v>
      </c>
      <c r="D9" s="3" t="s">
        <v>32</v>
      </c>
      <c r="E9" s="3" t="s">
        <v>64</v>
      </c>
      <c r="F9" s="3" t="s">
        <v>65</v>
      </c>
      <c r="G9" s="3" t="s">
        <v>66</v>
      </c>
      <c r="H9" s="3" t="s">
        <v>81</v>
      </c>
      <c r="I9" s="3" t="s">
        <v>82</v>
      </c>
      <c r="J9" s="3" t="s">
        <v>83</v>
      </c>
      <c r="K9" s="5" t="s">
        <v>84</v>
      </c>
      <c r="L9" s="5" t="s">
        <v>28</v>
      </c>
      <c r="M9" s="5" t="s">
        <v>28</v>
      </c>
      <c r="N9" s="4"/>
      <c r="O9" s="5" t="s">
        <v>29</v>
      </c>
      <c r="P9" s="6">
        <v>46320.0</v>
      </c>
      <c r="Q9" s="5" t="s">
        <v>85</v>
      </c>
    </row>
    <row r="10" ht="75.0" customHeight="1">
      <c r="A10" s="2" t="s">
        <v>86</v>
      </c>
      <c r="B10" s="3" t="s">
        <v>62</v>
      </c>
      <c r="C10" s="3" t="s">
        <v>87</v>
      </c>
      <c r="D10" s="3" t="s">
        <v>74</v>
      </c>
      <c r="E10" s="3" t="s">
        <v>64</v>
      </c>
      <c r="F10" s="3" t="s">
        <v>65</v>
      </c>
      <c r="G10" s="3" t="s">
        <v>66</v>
      </c>
      <c r="H10" s="3" t="s">
        <v>88</v>
      </c>
      <c r="I10" s="3" t="s">
        <v>89</v>
      </c>
      <c r="J10" s="3" t="s">
        <v>90</v>
      </c>
      <c r="K10" s="5" t="s">
        <v>91</v>
      </c>
      <c r="L10" s="5" t="s">
        <v>28</v>
      </c>
      <c r="M10" s="5" t="s">
        <v>28</v>
      </c>
      <c r="N10" s="4"/>
      <c r="O10" s="5" t="s">
        <v>29</v>
      </c>
      <c r="P10" s="6">
        <v>46320.0</v>
      </c>
      <c r="Q10" s="5" t="s">
        <v>92</v>
      </c>
    </row>
    <row r="11" ht="79.5" customHeight="1">
      <c r="A11" s="2" t="s">
        <v>93</v>
      </c>
      <c r="B11" s="3" t="s">
        <v>94</v>
      </c>
      <c r="C11" s="3" t="s">
        <v>95</v>
      </c>
      <c r="D11" s="3" t="s">
        <v>32</v>
      </c>
      <c r="E11" s="3" t="s">
        <v>64</v>
      </c>
      <c r="F11" s="3" t="s">
        <v>96</v>
      </c>
      <c r="G11" s="3" t="s">
        <v>66</v>
      </c>
      <c r="H11" s="3" t="s">
        <v>97</v>
      </c>
      <c r="I11" s="3" t="s">
        <v>98</v>
      </c>
      <c r="J11" s="3" t="s">
        <v>99</v>
      </c>
      <c r="K11" s="5" t="s">
        <v>100</v>
      </c>
      <c r="L11" s="5" t="s">
        <v>28</v>
      </c>
      <c r="M11" s="5" t="s">
        <v>28</v>
      </c>
      <c r="N11" s="4"/>
      <c r="O11" s="5" t="s">
        <v>29</v>
      </c>
      <c r="P11" s="6">
        <v>46320.0</v>
      </c>
      <c r="Q11" s="4"/>
    </row>
    <row r="12" ht="75.0" customHeight="1">
      <c r="A12" s="2" t="s">
        <v>101</v>
      </c>
      <c r="B12" s="3" t="s">
        <v>102</v>
      </c>
      <c r="C12" s="3" t="s">
        <v>103</v>
      </c>
      <c r="D12" s="3" t="s">
        <v>20</v>
      </c>
      <c r="E12" s="3" t="s">
        <v>21</v>
      </c>
      <c r="F12" s="3" t="s">
        <v>104</v>
      </c>
      <c r="G12" s="3" t="s">
        <v>66</v>
      </c>
      <c r="H12" s="3" t="s">
        <v>105</v>
      </c>
      <c r="I12" s="3" t="s">
        <v>106</v>
      </c>
      <c r="J12" s="3" t="s">
        <v>107</v>
      </c>
      <c r="K12" s="5" t="s">
        <v>108</v>
      </c>
      <c r="L12" s="5" t="s">
        <v>28</v>
      </c>
      <c r="M12" s="5" t="s">
        <v>28</v>
      </c>
      <c r="N12" s="4"/>
      <c r="O12" s="5" t="s">
        <v>29</v>
      </c>
      <c r="P12" s="6">
        <v>46320.0</v>
      </c>
      <c r="Q12" s="4"/>
    </row>
    <row r="13" ht="75.0" customHeight="1">
      <c r="A13" s="2" t="s">
        <v>109</v>
      </c>
      <c r="B13" s="3" t="s">
        <v>102</v>
      </c>
      <c r="C13" s="3" t="s">
        <v>110</v>
      </c>
      <c r="D13" s="3" t="s">
        <v>32</v>
      </c>
      <c r="E13" s="3" t="s">
        <v>64</v>
      </c>
      <c r="F13" s="3" t="s">
        <v>104</v>
      </c>
      <c r="G13" s="3" t="s">
        <v>111</v>
      </c>
      <c r="H13" s="3" t="s">
        <v>105</v>
      </c>
      <c r="I13" s="3" t="s">
        <v>112</v>
      </c>
      <c r="J13" s="3" t="s">
        <v>113</v>
      </c>
      <c r="K13" s="5" t="s">
        <v>114</v>
      </c>
      <c r="L13" s="5" t="s">
        <v>28</v>
      </c>
      <c r="M13" s="5" t="s">
        <v>28</v>
      </c>
      <c r="N13" s="4"/>
      <c r="O13" s="5" t="s">
        <v>29</v>
      </c>
      <c r="P13" s="6">
        <v>46320.0</v>
      </c>
      <c r="Q13" s="4"/>
    </row>
    <row r="14" ht="94.5" customHeight="1">
      <c r="A14" s="2" t="s">
        <v>115</v>
      </c>
      <c r="B14" s="3" t="s">
        <v>102</v>
      </c>
      <c r="C14" s="3" t="s">
        <v>116</v>
      </c>
      <c r="D14" s="3" t="s">
        <v>32</v>
      </c>
      <c r="E14" s="3" t="s">
        <v>64</v>
      </c>
      <c r="F14" s="3" t="s">
        <v>104</v>
      </c>
      <c r="G14" s="3" t="s">
        <v>111</v>
      </c>
      <c r="H14" s="3" t="s">
        <v>117</v>
      </c>
      <c r="I14" s="3" t="s">
        <v>118</v>
      </c>
      <c r="J14" s="3" t="s">
        <v>119</v>
      </c>
      <c r="K14" s="5" t="s">
        <v>120</v>
      </c>
      <c r="L14" s="5" t="s">
        <v>28</v>
      </c>
      <c r="M14" s="5" t="s">
        <v>28</v>
      </c>
      <c r="N14" s="4"/>
      <c r="O14" s="5" t="s">
        <v>29</v>
      </c>
      <c r="P14" s="6">
        <v>46320.0</v>
      </c>
      <c r="Q14" s="4"/>
    </row>
    <row r="15" ht="79.5" customHeight="1">
      <c r="A15" s="2" t="s">
        <v>121</v>
      </c>
      <c r="B15" s="3" t="s">
        <v>122</v>
      </c>
      <c r="C15" s="3" t="s">
        <v>123</v>
      </c>
      <c r="D15" s="3" t="s">
        <v>20</v>
      </c>
      <c r="E15" s="3" t="s">
        <v>33</v>
      </c>
      <c r="F15" s="3" t="s">
        <v>124</v>
      </c>
      <c r="G15" s="3" t="s">
        <v>125</v>
      </c>
      <c r="H15" s="3" t="s">
        <v>126</v>
      </c>
      <c r="I15" s="3" t="s">
        <v>127</v>
      </c>
      <c r="J15" s="3" t="s">
        <v>128</v>
      </c>
      <c r="K15" s="5" t="s">
        <v>129</v>
      </c>
      <c r="L15" s="5" t="s">
        <v>28</v>
      </c>
      <c r="M15" s="5" t="s">
        <v>28</v>
      </c>
      <c r="N15" s="4"/>
      <c r="O15" s="5" t="s">
        <v>29</v>
      </c>
      <c r="P15" s="6">
        <v>46320.0</v>
      </c>
      <c r="Q15" s="4"/>
    </row>
    <row r="16" ht="79.5" customHeight="1">
      <c r="A16" s="2" t="s">
        <v>130</v>
      </c>
      <c r="B16" s="3" t="s">
        <v>122</v>
      </c>
      <c r="C16" s="3" t="s">
        <v>131</v>
      </c>
      <c r="D16" s="3" t="s">
        <v>20</v>
      </c>
      <c r="E16" s="3" t="s">
        <v>21</v>
      </c>
      <c r="F16" s="3" t="s">
        <v>132</v>
      </c>
      <c r="G16" s="3" t="s">
        <v>133</v>
      </c>
      <c r="H16" s="3" t="s">
        <v>126</v>
      </c>
      <c r="I16" s="3" t="s">
        <v>134</v>
      </c>
      <c r="J16" s="3" t="s">
        <v>135</v>
      </c>
      <c r="K16" s="5" t="s">
        <v>136</v>
      </c>
      <c r="L16" s="5" t="s">
        <v>28</v>
      </c>
      <c r="M16" s="5" t="s">
        <v>28</v>
      </c>
      <c r="N16" s="4"/>
      <c r="O16" s="5" t="s">
        <v>29</v>
      </c>
      <c r="P16" s="6">
        <v>46320.0</v>
      </c>
      <c r="Q16" s="4"/>
    </row>
    <row r="17" ht="75.0" customHeight="1">
      <c r="A17" s="2" t="s">
        <v>137</v>
      </c>
      <c r="B17" s="3" t="s">
        <v>122</v>
      </c>
      <c r="C17" s="3" t="s">
        <v>138</v>
      </c>
      <c r="D17" s="3" t="s">
        <v>32</v>
      </c>
      <c r="E17" s="3" t="s">
        <v>64</v>
      </c>
      <c r="F17" s="3" t="s">
        <v>139</v>
      </c>
      <c r="G17" s="3" t="s">
        <v>140</v>
      </c>
      <c r="H17" s="3" t="s">
        <v>141</v>
      </c>
      <c r="I17" s="7" t="s">
        <v>142</v>
      </c>
      <c r="J17" s="7" t="s">
        <v>143</v>
      </c>
      <c r="K17" s="5" t="s">
        <v>144</v>
      </c>
      <c r="L17" s="5" t="s">
        <v>28</v>
      </c>
      <c r="M17" s="5" t="s">
        <v>28</v>
      </c>
      <c r="N17" s="4"/>
      <c r="O17" s="5" t="s">
        <v>29</v>
      </c>
      <c r="P17" s="6">
        <v>46320.0</v>
      </c>
      <c r="Q17" s="4"/>
    </row>
    <row r="18" ht="75.0" customHeight="1">
      <c r="A18" s="8" t="s">
        <v>145</v>
      </c>
      <c r="B18" s="7" t="s">
        <v>122</v>
      </c>
      <c r="C18" s="7" t="s">
        <v>146</v>
      </c>
      <c r="D18" s="7" t="s">
        <v>74</v>
      </c>
      <c r="E18" s="7" t="s">
        <v>64</v>
      </c>
      <c r="F18" s="7" t="s">
        <v>139</v>
      </c>
      <c r="G18" s="7" t="s">
        <v>111</v>
      </c>
      <c r="H18" s="7" t="s">
        <v>147</v>
      </c>
      <c r="I18" s="7" t="s">
        <v>148</v>
      </c>
      <c r="J18" s="7" t="s">
        <v>149</v>
      </c>
      <c r="K18" s="5" t="s">
        <v>150</v>
      </c>
      <c r="L18" s="5" t="s">
        <v>28</v>
      </c>
      <c r="M18" s="5" t="s">
        <v>28</v>
      </c>
      <c r="N18" s="4"/>
      <c r="O18" s="5" t="s">
        <v>29</v>
      </c>
      <c r="P18" s="6">
        <v>46320.0</v>
      </c>
      <c r="Q18" s="5" t="s">
        <v>151</v>
      </c>
    </row>
    <row r="19" ht="79.5" customHeight="1">
      <c r="A19" s="2" t="s">
        <v>152</v>
      </c>
      <c r="B19" s="3" t="s">
        <v>122</v>
      </c>
      <c r="C19" s="3" t="s">
        <v>153</v>
      </c>
      <c r="D19" s="3" t="s">
        <v>20</v>
      </c>
      <c r="E19" s="3" t="s">
        <v>21</v>
      </c>
      <c r="F19" s="3" t="s">
        <v>139</v>
      </c>
      <c r="G19" s="3" t="s">
        <v>140</v>
      </c>
      <c r="H19" s="3" t="s">
        <v>141</v>
      </c>
      <c r="I19" s="3" t="s">
        <v>154</v>
      </c>
      <c r="J19" s="3" t="s">
        <v>155</v>
      </c>
      <c r="K19" s="5" t="s">
        <v>156</v>
      </c>
      <c r="L19" s="5" t="s">
        <v>28</v>
      </c>
      <c r="M19" s="5" t="s">
        <v>28</v>
      </c>
      <c r="N19" s="4"/>
      <c r="O19" s="5" t="s">
        <v>29</v>
      </c>
      <c r="P19" s="6">
        <v>46320.0</v>
      </c>
      <c r="Q19" s="4"/>
    </row>
    <row r="20" ht="75.0" customHeight="1">
      <c r="A20" s="2" t="s">
        <v>157</v>
      </c>
      <c r="B20" s="3" t="s">
        <v>122</v>
      </c>
      <c r="C20" s="3" t="s">
        <v>158</v>
      </c>
      <c r="D20" s="3" t="s">
        <v>74</v>
      </c>
      <c r="E20" s="3" t="s">
        <v>64</v>
      </c>
      <c r="F20" s="3" t="s">
        <v>139</v>
      </c>
      <c r="G20" s="3" t="s">
        <v>159</v>
      </c>
      <c r="H20" s="3" t="s">
        <v>141</v>
      </c>
      <c r="I20" s="3" t="s">
        <v>160</v>
      </c>
      <c r="J20" s="3" t="s">
        <v>161</v>
      </c>
      <c r="K20" s="5" t="s">
        <v>162</v>
      </c>
      <c r="L20" s="5" t="s">
        <v>28</v>
      </c>
      <c r="M20" s="5" t="s">
        <v>28</v>
      </c>
      <c r="N20" s="4"/>
      <c r="O20" s="5" t="s">
        <v>29</v>
      </c>
      <c r="P20" s="6">
        <v>46320.0</v>
      </c>
      <c r="Q20" s="4"/>
    </row>
    <row r="21" ht="75.0" customHeight="1">
      <c r="A21" s="2" t="s">
        <v>163</v>
      </c>
      <c r="B21" s="3" t="s">
        <v>164</v>
      </c>
      <c r="C21" s="3" t="s">
        <v>165</v>
      </c>
      <c r="D21" s="3" t="s">
        <v>20</v>
      </c>
      <c r="E21" s="3" t="s">
        <v>21</v>
      </c>
      <c r="F21" s="3" t="s">
        <v>166</v>
      </c>
      <c r="G21" s="3" t="s">
        <v>66</v>
      </c>
      <c r="H21" s="3" t="s">
        <v>167</v>
      </c>
      <c r="I21" s="3" t="s">
        <v>168</v>
      </c>
      <c r="J21" s="3" t="s">
        <v>169</v>
      </c>
      <c r="K21" s="5" t="s">
        <v>170</v>
      </c>
      <c r="L21" s="5" t="s">
        <v>28</v>
      </c>
      <c r="M21" s="5" t="s">
        <v>28</v>
      </c>
      <c r="N21" s="4"/>
      <c r="O21" s="5" t="s">
        <v>29</v>
      </c>
      <c r="P21" s="6">
        <v>46320.0</v>
      </c>
      <c r="Q21" s="5" t="s">
        <v>171</v>
      </c>
    </row>
    <row r="22" ht="79.5" customHeight="1">
      <c r="A22" s="2" t="s">
        <v>172</v>
      </c>
      <c r="B22" s="3" t="s">
        <v>164</v>
      </c>
      <c r="C22" s="3" t="s">
        <v>173</v>
      </c>
      <c r="D22" s="3" t="s">
        <v>32</v>
      </c>
      <c r="E22" s="3" t="s">
        <v>64</v>
      </c>
      <c r="F22" s="3" t="s">
        <v>166</v>
      </c>
      <c r="G22" s="3" t="s">
        <v>111</v>
      </c>
      <c r="H22" s="3" t="s">
        <v>141</v>
      </c>
      <c r="I22" s="3" t="s">
        <v>174</v>
      </c>
      <c r="J22" s="3" t="s">
        <v>175</v>
      </c>
      <c r="K22" s="5" t="s">
        <v>176</v>
      </c>
      <c r="L22" s="5" t="s">
        <v>52</v>
      </c>
      <c r="M22" s="5" t="s">
        <v>52</v>
      </c>
      <c r="N22" s="4" t="s">
        <v>177</v>
      </c>
      <c r="O22" s="5" t="s">
        <v>29</v>
      </c>
      <c r="P22" s="6">
        <v>46320.0</v>
      </c>
      <c r="Q22" s="4"/>
    </row>
    <row r="23" ht="75.0" customHeight="1">
      <c r="A23" s="2" t="s">
        <v>178</v>
      </c>
      <c r="B23" s="3" t="s">
        <v>164</v>
      </c>
      <c r="C23" s="3" t="s">
        <v>179</v>
      </c>
      <c r="D23" s="3" t="s">
        <v>74</v>
      </c>
      <c r="E23" s="3" t="s">
        <v>64</v>
      </c>
      <c r="F23" s="3" t="s">
        <v>180</v>
      </c>
      <c r="G23" s="3" t="s">
        <v>181</v>
      </c>
      <c r="H23" s="3" t="s">
        <v>141</v>
      </c>
      <c r="I23" s="3" t="s">
        <v>182</v>
      </c>
      <c r="J23" s="3" t="s">
        <v>183</v>
      </c>
      <c r="K23" s="5" t="s">
        <v>184</v>
      </c>
      <c r="L23" s="5" t="s">
        <v>52</v>
      </c>
      <c r="M23" s="5" t="s">
        <v>52</v>
      </c>
      <c r="N23" s="5" t="s">
        <v>185</v>
      </c>
      <c r="O23" s="5" t="s">
        <v>29</v>
      </c>
      <c r="P23" s="6">
        <v>46320.0</v>
      </c>
      <c r="Q23" s="4"/>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autoFilter ref="$A$1:$Q$23"/>
  <conditionalFormatting sqref="L2:L23">
    <cfRule type="cellIs" dxfId="0" priority="1" operator="equal">
      <formula>"Pass"</formula>
    </cfRule>
  </conditionalFormatting>
  <conditionalFormatting sqref="L2:L23">
    <cfRule type="cellIs" dxfId="1" priority="2" operator="equal">
      <formula>"Fail"</formula>
    </cfRule>
  </conditionalFormatting>
  <conditionalFormatting sqref="L2:L23">
    <cfRule type="cellIs" dxfId="2" priority="3" operator="equal">
      <formula>"Blocked"</formula>
    </cfRule>
  </conditionalFormatting>
  <conditionalFormatting sqref="M2:M23">
    <cfRule type="cellIs" dxfId="0" priority="4" operator="equal">
      <formula>"Pass"</formula>
    </cfRule>
  </conditionalFormatting>
  <conditionalFormatting sqref="M2:M23">
    <cfRule type="cellIs" dxfId="1" priority="5" operator="equal">
      <formula>"Fail"</formula>
    </cfRule>
  </conditionalFormatting>
  <conditionalFormatting sqref="M2:M23">
    <cfRule type="cellIs" dxfId="2" priority="6" operator="equal">
      <formula>"Blocked"</formula>
    </cfRule>
  </conditionalFormatting>
  <dataValidations>
    <dataValidation type="list" allowBlank="1" sqref="L2:M23">
      <formula1>"Not Run,Pass,Fail,Blocked,N/A"</formula1>
    </dataValidation>
  </dataValidation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0"/>
    <col customWidth="1" min="2" max="2" width="14.0"/>
    <col customWidth="1" min="3" max="3" width="60.0"/>
    <col customWidth="1" min="4" max="26" width="8.71"/>
  </cols>
  <sheetData>
    <row r="1">
      <c r="A1" s="9" t="s">
        <v>186</v>
      </c>
    </row>
    <row r="2">
      <c r="A2" s="10" t="s">
        <v>187</v>
      </c>
    </row>
    <row r="4">
      <c r="A4" s="11" t="s">
        <v>188</v>
      </c>
      <c r="B4" s="12">
        <f>COUNTA('Test Cases'!A2:A23)</f>
        <v>22</v>
      </c>
      <c r="C4" s="13"/>
    </row>
    <row r="5">
      <c r="A5" s="11" t="s">
        <v>189</v>
      </c>
      <c r="B5" s="12">
        <f>COUNTA('Test Cases'!L2:L23)-COUNTIF('Test Cases'!L2:L23,"Not Run")</f>
        <v>22</v>
      </c>
      <c r="C5" s="13"/>
    </row>
    <row r="6">
      <c r="A6" s="11" t="s">
        <v>190</v>
      </c>
      <c r="B6" s="12">
        <f>COUNTIF('Test Cases'!L2:L23,"Pass")</f>
        <v>19</v>
      </c>
      <c r="C6" s="13"/>
    </row>
    <row r="7">
      <c r="A7" s="11" t="s">
        <v>191</v>
      </c>
      <c r="B7" s="12">
        <f>COUNTIF('Test Cases'!L2:L23,"Fail")</f>
        <v>3</v>
      </c>
      <c r="C7" s="13"/>
    </row>
    <row r="8">
      <c r="A8" s="11" t="s">
        <v>192</v>
      </c>
      <c r="B8" s="12">
        <f>COUNTIF('Test Cases'!L2:L23,"Blocked")</f>
        <v>0</v>
      </c>
      <c r="C8" s="13"/>
    </row>
    <row r="9">
      <c r="A9" s="11" t="s">
        <v>193</v>
      </c>
      <c r="B9" s="14">
        <f t="shared" ref="B9:B10" si="1">IFERROR(B5/B4,0)</f>
        <v>1</v>
      </c>
      <c r="C9" s="13" t="s">
        <v>194</v>
      </c>
    </row>
    <row r="10">
      <c r="A10" s="11" t="s">
        <v>195</v>
      </c>
      <c r="B10" s="14">
        <f t="shared" si="1"/>
        <v>0.8636363636</v>
      </c>
      <c r="C10" s="13" t="s">
        <v>196</v>
      </c>
    </row>
    <row r="11">
      <c r="A11" s="11" t="s">
        <v>197</v>
      </c>
      <c r="B11" s="12">
        <f>COUNTIF('Test Cases'!D2:D23,"P1")</f>
        <v>7</v>
      </c>
      <c r="C11" s="13"/>
    </row>
    <row r="12">
      <c r="A12" s="11" t="s">
        <v>198</v>
      </c>
      <c r="B12" s="12">
        <f>COUNTIFS('Test Cases'!D2:D23,"P1",'Test Cases'!L2:L23,"Pass")</f>
        <v>7</v>
      </c>
      <c r="C12" s="13" t="s">
        <v>199</v>
      </c>
    </row>
    <row r="13">
      <c r="A13" s="11" t="s">
        <v>200</v>
      </c>
      <c r="B13" s="12">
        <f>COUNTIFS('Test Cases'!D2:D23,"P1",'Test Cases'!M2:M23,"Pass")</f>
        <v>7</v>
      </c>
      <c r="C13" s="13" t="s">
        <v>199</v>
      </c>
    </row>
    <row r="14">
      <c r="A14" s="11" t="s">
        <v>201</v>
      </c>
      <c r="B14" s="15">
        <v>11.0</v>
      </c>
      <c r="C14" s="13" t="s">
        <v>202</v>
      </c>
    </row>
    <row r="15">
      <c r="A15" s="11" t="s">
        <v>203</v>
      </c>
      <c r="B15" s="15">
        <v>11.0</v>
      </c>
      <c r="C15" s="13" t="s">
        <v>204</v>
      </c>
    </row>
    <row r="16">
      <c r="A16" s="11" t="s">
        <v>205</v>
      </c>
      <c r="B16" s="14">
        <f>IFERROR(B15/B14,0)</f>
        <v>1</v>
      </c>
      <c r="C16" s="13" t="s">
        <v>206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0"/>
    <col customWidth="1" min="2" max="2" width="95.0"/>
    <col customWidth="1" min="3" max="26" width="8.71"/>
  </cols>
  <sheetData>
    <row r="1">
      <c r="A1" s="16" t="s">
        <v>207</v>
      </c>
      <c r="B1" s="17"/>
    </row>
    <row r="2">
      <c r="A2" s="18" t="s">
        <v>208</v>
      </c>
      <c r="B2" s="17" t="s">
        <v>209</v>
      </c>
    </row>
    <row r="3">
      <c r="A3" s="18" t="s">
        <v>210</v>
      </c>
      <c r="B3" s="17" t="s">
        <v>211</v>
      </c>
    </row>
    <row r="4">
      <c r="A4" s="18" t="s">
        <v>212</v>
      </c>
      <c r="B4" s="17" t="s">
        <v>213</v>
      </c>
    </row>
    <row r="5">
      <c r="A5" s="18" t="s">
        <v>10</v>
      </c>
      <c r="B5" s="17" t="s">
        <v>214</v>
      </c>
    </row>
    <row r="6">
      <c r="A6" s="18" t="s">
        <v>13</v>
      </c>
      <c r="B6" s="17" t="s">
        <v>215</v>
      </c>
    </row>
    <row r="7">
      <c r="A7" s="18" t="s">
        <v>216</v>
      </c>
      <c r="B7" s="17" t="s">
        <v>217</v>
      </c>
    </row>
    <row r="8">
      <c r="A8" s="19"/>
      <c r="B8" s="17"/>
    </row>
    <row r="9">
      <c r="A9" s="18" t="s">
        <v>218</v>
      </c>
      <c r="B9" s="17"/>
    </row>
    <row r="10">
      <c r="A10" s="18" t="s">
        <v>10</v>
      </c>
      <c r="B10" s="17" t="s">
        <v>219</v>
      </c>
    </row>
    <row r="11">
      <c r="A11" s="18" t="s">
        <v>220</v>
      </c>
      <c r="B11" s="17" t="s">
        <v>221</v>
      </c>
    </row>
    <row r="12">
      <c r="A12" s="18" t="s">
        <v>13</v>
      </c>
      <c r="B12" s="17" t="s">
        <v>53</v>
      </c>
    </row>
    <row r="13">
      <c r="A13" s="18" t="s">
        <v>222</v>
      </c>
      <c r="B13" s="17" t="s">
        <v>223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